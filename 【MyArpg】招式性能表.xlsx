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<sst xmlns="http://schemas.openxmlformats.org/spreadsheetml/2006/main" count="75" uniqueCount="51">
  <si>
    <t>招式名称</t>
  </si>
  <si>
    <t>攻击力</t>
  </si>
  <si>
    <t>属性攻击力</t>
  </si>
  <si>
    <t>晕值攻击</t>
  </si>
  <si>
    <t>回MP</t>
  </si>
  <si>
    <t>回SP</t>
  </si>
  <si>
    <t>回Ult</t>
  </si>
  <si>
    <t>削韧等级</t>
  </si>
  <si>
    <t>帧数</t>
  </si>
  <si>
    <t>时间</t>
  </si>
  <si>
    <t>连段名称</t>
  </si>
  <si>
    <t>总攻击力</t>
  </si>
  <si>
    <t>总属性攻击力</t>
  </si>
  <si>
    <t>总晕值攻击</t>
  </si>
  <si>
    <t>总回复MP</t>
  </si>
  <si>
    <t>总回SP</t>
  </si>
  <si>
    <t>总回Ult</t>
  </si>
  <si>
    <t>总帧数</t>
  </si>
  <si>
    <t>总时间</t>
  </si>
  <si>
    <t>秒伤</t>
  </si>
  <si>
    <t>A</t>
  </si>
  <si>
    <t>AA</t>
  </si>
  <si>
    <t>AAA</t>
  </si>
  <si>
    <t>AAAA</t>
  </si>
  <si>
    <t>AAAAHold</t>
  </si>
  <si>
    <t>A(sp)</t>
  </si>
  <si>
    <t>AA(sp)</t>
  </si>
  <si>
    <t>AAA(sp)</t>
  </si>
  <si>
    <t>AAAA(sp)</t>
  </si>
  <si>
    <t>AAAAA(sp)</t>
  </si>
  <si>
    <t>AAAAA(sp)  //强力攻击连段① //连段4</t>
  </si>
  <si>
    <t>AAAAHold(sp)</t>
  </si>
  <si>
    <t>AAAAHoldA(sp)</t>
  </si>
  <si>
    <t>AAAAHoldA(sp)  //攒debuff连段②</t>
  </si>
  <si>
    <t>GA</t>
  </si>
  <si>
    <t>GA(sp)</t>
  </si>
  <si>
    <t>DA</t>
  </si>
  <si>
    <t>DA(sp)</t>
  </si>
  <si>
    <t>E</t>
  </si>
  <si>
    <t>EHold</t>
  </si>
  <si>
    <t>EHold //普通重特殊</t>
  </si>
  <si>
    <t>EHold(sp)</t>
  </si>
  <si>
    <t>EHold(sp)  //满蓄力重特殊技</t>
  </si>
  <si>
    <t>Ult</t>
  </si>
  <si>
    <t>GA(sp)AAAAA(sp)  //精防接强力攻击</t>
  </si>
  <si>
    <t>实战连段</t>
  </si>
  <si>
    <t>EHold(sp) + AAAAA(sp) + E + AAAAHoldA(sp) + E + EHold(sp)   //6sp连段</t>
  </si>
  <si>
    <t>EHold(sp) + AAAAHoldA(sp) + E + EHold(sp)   //6sp连段</t>
  </si>
  <si>
    <t>AAAAA(sp) + E  //连段3</t>
  </si>
  <si>
    <t>AAAAHoldA(sp) + AAAAA(sp) + E  //连段2</t>
  </si>
  <si>
    <t>AAAAHoldA(sp) + AAAAA(sp)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</si>
</sst>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FF00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b/>
      <sz val="11"/>
      <color theme="4"/>
      <name val="宋体"/>
      <charset val="134"/>
      <scheme val="minor"/>
    </font>
    <font>
      <b/>
      <sz val="11"/>
      <color rgb="FF7030A0"/>
      <name val="宋体"/>
      <charset val="134"/>
      <scheme val="minor"/>
    </font>
    <font>
      <b/>
      <sz val="11"/>
      <color rgb="FFFFC000"/>
      <name val="宋体"/>
      <charset val="134"/>
      <scheme val="minor"/>
    </font>
    <font>
      <b/>
      <sz val="11"/>
      <color theme="9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6" borderId="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6">
      <alignment vertical="center"/>
    </xf>
    <xf numFmtId="0" fontId="22" fillId="0" borderId="6">
      <alignment vertical="center"/>
    </xf>
    <xf numFmtId="0" fontId="23" fillId="0" borderId="7">
      <alignment vertical="center"/>
    </xf>
    <xf numFmtId="0" fontId="23" fillId="0" borderId="0">
      <alignment vertical="center"/>
    </xf>
    <xf numFmtId="0" fontId="24" fillId="7" borderId="8">
      <alignment vertical="center"/>
    </xf>
    <xf numFmtId="0" fontId="25" fillId="8" borderId="9">
      <alignment vertical="center"/>
    </xf>
    <xf numFmtId="0" fontId="26" fillId="8" borderId="8">
      <alignment vertical="center"/>
    </xf>
    <xf numFmtId="0" fontId="27" fillId="9" borderId="10">
      <alignment vertical="center"/>
    </xf>
    <xf numFmtId="0" fontId="28" fillId="0" borderId="11">
      <alignment vertical="center"/>
    </xf>
    <xf numFmtId="0" fontId="29" fillId="0" borderId="12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3" fillId="3" borderId="0">
      <alignment vertical="center"/>
    </xf>
    <xf numFmtId="0" fontId="34" fillId="13" borderId="0">
      <alignment vertical="center"/>
    </xf>
    <xf numFmtId="0" fontId="34" fillId="14" borderId="0">
      <alignment vertical="center"/>
    </xf>
    <xf numFmtId="0" fontId="33" fillId="15" borderId="0">
      <alignment vertical="center"/>
    </xf>
    <xf numFmtId="0" fontId="33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3" fillId="19" borderId="0">
      <alignment vertical="center"/>
    </xf>
    <xf numFmtId="0" fontId="33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4" fillId="33" borderId="0">
      <alignment vertical="center"/>
    </xf>
    <xf numFmtId="0" fontId="34" fillId="34" borderId="0">
      <alignment vertical="center"/>
    </xf>
    <xf numFmtId="0" fontId="33" fillId="35" borderId="0">
      <alignment vertical="center"/>
    </xf>
  </cellStyleXfs>
  <cellXfs count="4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4" borderId="1" xfId="0" applyFont="1" applyFill="1" applyBorder="1" applyAlignment="1">
      <alignment vertical="center"/>
    </xf>
    <xf numFmtId="176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vertical="center"/>
    </xf>
    <xf numFmtId="0" fontId="0" fillId="5" borderId="2" xfId="0" applyFont="1" applyFill="1" applyBorder="1" applyAlignment="1">
      <alignment vertical="center"/>
    </xf>
    <xf numFmtId="0" fontId="0" fillId="5" borderId="3" xfId="0" applyFont="1" applyFill="1" applyBorder="1" applyAlignment="1">
      <alignment vertical="center"/>
    </xf>
    <xf numFmtId="176" fontId="0" fillId="5" borderId="1" xfId="0" applyNumberFormat="1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76" fontId="0" fillId="0" borderId="3" xfId="0" applyNumberForma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"/>
  <sheetViews>
    <sheetView tabSelected="1" zoomScale="130" zoomScaleNormal="130" workbookViewId="0">
      <selection activeCell="L27" sqref="L27"/>
    </sheetView>
  </sheetViews>
  <sheetFormatPr defaultColWidth="9" defaultRowHeight="14"/>
  <cols>
    <col min="1" max="1" width="15.9363636363636" style="1" customWidth="1"/>
    <col min="2" max="2" width="7.61818181818182" style="2" customWidth="1"/>
    <col min="3" max="3" width="13" style="3" customWidth="1"/>
    <col min="4" max="4" width="10.1363636363636" style="4" customWidth="1"/>
    <col min="5" max="5" width="9" style="5"/>
    <col min="6" max="6" width="9" style="6"/>
    <col min="7" max="7" width="9" style="7"/>
    <col min="8" max="8" width="4.9" customWidth="1"/>
    <col min="9" max="9" width="7.06363636363636" customWidth="1"/>
    <col min="10" max="10" width="12.8181818181818"/>
    <col min="11" max="11" width="3.84545454545455" customWidth="1"/>
    <col min="12" max="12" width="57.6909090909091" style="1" customWidth="1"/>
    <col min="13" max="13" width="10.4818181818182" style="2" customWidth="1"/>
    <col min="14" max="14" width="13.8636363636364" style="8" customWidth="1"/>
    <col min="15" max="15" width="13.2181818181818" style="4" customWidth="1"/>
    <col min="16" max="16" width="9" style="5"/>
    <col min="17" max="17" width="9" style="6"/>
    <col min="18" max="18" width="9" style="9"/>
    <col min="20" max="20" width="7.33636363636364" style="10" customWidth="1"/>
    <col min="21" max="21" width="10.0636363636364" style="10" customWidth="1"/>
  </cols>
  <sheetData>
    <row r="1" s="1" customFormat="1" spans="1:21">
      <c r="A1" s="11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7" t="s">
        <v>6</v>
      </c>
      <c r="H1" s="11" t="s">
        <v>7</v>
      </c>
      <c r="I1" s="11" t="s">
        <v>8</v>
      </c>
      <c r="J1" s="11" t="s">
        <v>9</v>
      </c>
      <c r="K1" s="11"/>
      <c r="L1" s="11" t="s">
        <v>10</v>
      </c>
      <c r="M1" s="12" t="s">
        <v>11</v>
      </c>
      <c r="N1" s="18" t="s">
        <v>12</v>
      </c>
      <c r="O1" s="14" t="s">
        <v>13</v>
      </c>
      <c r="P1" s="19" t="s">
        <v>14</v>
      </c>
      <c r="Q1" s="20" t="s">
        <v>15</v>
      </c>
      <c r="R1" s="17" t="s">
        <v>16</v>
      </c>
      <c r="S1" s="21" t="s">
        <v>17</v>
      </c>
      <c r="T1" s="22" t="s">
        <v>18</v>
      </c>
      <c r="U1" s="22" t="s">
        <v>19</v>
      </c>
    </row>
    <row r="2" spans="1:21">
      <c r="A2" s="11" t="s">
        <v>20</v>
      </c>
      <c r="B2" s="23">
        <v>5</v>
      </c>
      <c r="C2" s="24">
        <v>0</v>
      </c>
      <c r="D2" s="4">
        <v>10</v>
      </c>
      <c r="E2" s="25">
        <v>1.5</v>
      </c>
      <c r="F2" s="26">
        <v>0</v>
      </c>
      <c r="G2" s="9">
        <v>4</v>
      </c>
      <c r="H2" s="27">
        <v>1</v>
      </c>
      <c r="I2" s="27">
        <v>23</v>
      </c>
      <c r="J2" s="28">
        <f>I2*1/60</f>
        <v>0.383333333333333</v>
      </c>
      <c r="K2" s="27"/>
      <c r="L2" s="11" t="s">
        <v>20</v>
      </c>
      <c r="M2" s="23">
        <f t="shared" ref="M2:R2" si="0">SUM(B2)</f>
        <v>5</v>
      </c>
      <c r="N2" s="29">
        <f t="shared" si="0"/>
        <v>0</v>
      </c>
      <c r="O2" s="4">
        <f t="shared" si="0"/>
        <v>10</v>
      </c>
      <c r="P2" s="30">
        <f t="shared" si="0"/>
        <v>1.5</v>
      </c>
      <c r="Q2" s="31">
        <f t="shared" si="0"/>
        <v>0</v>
      </c>
      <c r="R2" s="9">
        <f t="shared" si="0"/>
        <v>4</v>
      </c>
      <c r="S2" s="32">
        <f>SUM(I2)</f>
        <v>23</v>
      </c>
      <c r="T2" s="28">
        <f>S2*1/60</f>
        <v>0.383333333333333</v>
      </c>
      <c r="U2" s="28">
        <f>M2/T2</f>
        <v>13.0434782608696</v>
      </c>
    </row>
    <row r="3" spans="1:21">
      <c r="A3" s="11" t="s">
        <v>21</v>
      </c>
      <c r="B3" s="23">
        <v>6</v>
      </c>
      <c r="C3" s="24">
        <v>0</v>
      </c>
      <c r="D3" s="4">
        <v>20</v>
      </c>
      <c r="E3" s="25">
        <v>2</v>
      </c>
      <c r="F3" s="26">
        <v>0</v>
      </c>
      <c r="G3" s="9">
        <v>6</v>
      </c>
      <c r="H3" s="27">
        <v>1</v>
      </c>
      <c r="I3" s="27">
        <v>21</v>
      </c>
      <c r="J3" s="28">
        <f t="shared" ref="J3:J14" si="1">I3*1/60</f>
        <v>0.35</v>
      </c>
      <c r="K3" s="27"/>
      <c r="L3" s="11" t="s">
        <v>21</v>
      </c>
      <c r="M3" s="23">
        <f t="shared" ref="M3:R3" si="2">SUM(M2,B3)</f>
        <v>11</v>
      </c>
      <c r="N3" s="29">
        <f t="shared" si="2"/>
        <v>0</v>
      </c>
      <c r="O3" s="4">
        <f t="shared" si="2"/>
        <v>30</v>
      </c>
      <c r="P3" s="30">
        <f t="shared" si="2"/>
        <v>3.5</v>
      </c>
      <c r="Q3" s="31">
        <f t="shared" si="2"/>
        <v>0</v>
      </c>
      <c r="R3" s="9">
        <f t="shared" si="2"/>
        <v>10</v>
      </c>
      <c r="S3" s="32">
        <f>SUM(I2,I3)</f>
        <v>44</v>
      </c>
      <c r="T3" s="28">
        <f t="shared" ref="T3:T20" si="3">S3*1/60</f>
        <v>0.733333333333333</v>
      </c>
      <c r="U3" s="28">
        <f t="shared" ref="U3:U13" si="4">M3/T3</f>
        <v>15</v>
      </c>
    </row>
    <row r="4" spans="1:21">
      <c r="A4" s="11" t="s">
        <v>22</v>
      </c>
      <c r="B4" s="23">
        <v>12</v>
      </c>
      <c r="C4" s="24">
        <v>0</v>
      </c>
      <c r="D4" s="4">
        <v>30</v>
      </c>
      <c r="E4" s="25">
        <v>2.5</v>
      </c>
      <c r="F4" s="26">
        <v>0</v>
      </c>
      <c r="G4" s="9">
        <v>9</v>
      </c>
      <c r="H4" s="27">
        <v>1</v>
      </c>
      <c r="I4" s="27">
        <v>32</v>
      </c>
      <c r="J4" s="28">
        <f t="shared" si="1"/>
        <v>0.533333333333333</v>
      </c>
      <c r="K4" s="27"/>
      <c r="L4" s="11" t="s">
        <v>22</v>
      </c>
      <c r="M4" s="23">
        <f t="shared" ref="M4:R4" si="5">SUM(M3,B4)</f>
        <v>23</v>
      </c>
      <c r="N4" s="29">
        <f t="shared" si="5"/>
        <v>0</v>
      </c>
      <c r="O4" s="4">
        <f t="shared" si="5"/>
        <v>60</v>
      </c>
      <c r="P4" s="30">
        <f t="shared" si="5"/>
        <v>6</v>
      </c>
      <c r="Q4" s="31">
        <f t="shared" si="5"/>
        <v>0</v>
      </c>
      <c r="R4" s="9">
        <f t="shared" si="5"/>
        <v>19</v>
      </c>
      <c r="S4" s="32">
        <f>SUM(I2:I4)</f>
        <v>76</v>
      </c>
      <c r="T4" s="28">
        <f t="shared" si="3"/>
        <v>1.26666666666667</v>
      </c>
      <c r="U4" s="28">
        <f t="shared" si="4"/>
        <v>18.1578947368421</v>
      </c>
    </row>
    <row r="5" spans="1:21">
      <c r="A5" s="11" t="s">
        <v>23</v>
      </c>
      <c r="B5" s="23">
        <v>15</v>
      </c>
      <c r="C5" s="24">
        <v>0</v>
      </c>
      <c r="D5" s="4">
        <v>45</v>
      </c>
      <c r="E5" s="25">
        <v>3</v>
      </c>
      <c r="F5" s="26">
        <v>0</v>
      </c>
      <c r="G5" s="9">
        <v>10</v>
      </c>
      <c r="H5" s="27">
        <v>1</v>
      </c>
      <c r="I5" s="27">
        <v>31</v>
      </c>
      <c r="J5" s="28">
        <f t="shared" si="1"/>
        <v>0.516666666666667</v>
      </c>
      <c r="K5" s="27"/>
      <c r="L5" s="11" t="s">
        <v>23</v>
      </c>
      <c r="M5" s="23">
        <f t="shared" ref="M5:R5" si="6">SUM(M4,B5)</f>
        <v>38</v>
      </c>
      <c r="N5" s="29">
        <f t="shared" si="6"/>
        <v>0</v>
      </c>
      <c r="O5" s="4">
        <f t="shared" si="6"/>
        <v>105</v>
      </c>
      <c r="P5" s="30">
        <f t="shared" si="6"/>
        <v>9</v>
      </c>
      <c r="Q5" s="31">
        <f t="shared" si="6"/>
        <v>0</v>
      </c>
      <c r="R5" s="9">
        <f t="shared" si="6"/>
        <v>29</v>
      </c>
      <c r="S5" s="32">
        <f>SUM(I2:I5)</f>
        <v>107</v>
      </c>
      <c r="T5" s="28">
        <f t="shared" si="3"/>
        <v>1.78333333333333</v>
      </c>
      <c r="U5" s="28">
        <f t="shared" si="4"/>
        <v>21.3084112149533</v>
      </c>
    </row>
    <row r="6" spans="1:21">
      <c r="A6" s="11" t="s">
        <v>24</v>
      </c>
      <c r="B6" s="23">
        <v>14</v>
      </c>
      <c r="C6" s="24">
        <v>0</v>
      </c>
      <c r="D6" s="4">
        <v>60</v>
      </c>
      <c r="E6" s="25">
        <v>2</v>
      </c>
      <c r="F6" s="26">
        <v>0</v>
      </c>
      <c r="G6" s="9">
        <v>10</v>
      </c>
      <c r="H6" s="27">
        <v>1</v>
      </c>
      <c r="I6" s="27">
        <v>26</v>
      </c>
      <c r="J6" s="28">
        <f t="shared" si="1"/>
        <v>0.433333333333333</v>
      </c>
      <c r="K6" s="27"/>
      <c r="L6" s="11" t="s">
        <v>24</v>
      </c>
      <c r="M6" s="23">
        <f t="shared" ref="M6:R6" si="7">SUM(M4,B6)</f>
        <v>37</v>
      </c>
      <c r="N6" s="29">
        <f t="shared" si="7"/>
        <v>0</v>
      </c>
      <c r="O6" s="4">
        <f t="shared" si="7"/>
        <v>120</v>
      </c>
      <c r="P6" s="30">
        <f t="shared" si="7"/>
        <v>8</v>
      </c>
      <c r="Q6" s="31">
        <f t="shared" si="7"/>
        <v>0</v>
      </c>
      <c r="R6" s="9">
        <f t="shared" si="7"/>
        <v>29</v>
      </c>
      <c r="S6" s="32">
        <f>SUM(I2,I3,I4,I6)</f>
        <v>102</v>
      </c>
      <c r="T6" s="28">
        <f t="shared" si="3"/>
        <v>1.7</v>
      </c>
      <c r="U6" s="28">
        <f t="shared" si="4"/>
        <v>21.7647058823529</v>
      </c>
    </row>
    <row r="7" spans="1:21">
      <c r="A7" s="11" t="s">
        <v>25</v>
      </c>
      <c r="B7" s="23">
        <v>10</v>
      </c>
      <c r="C7" s="24">
        <v>10</v>
      </c>
      <c r="D7" s="4">
        <v>12</v>
      </c>
      <c r="E7" s="25">
        <v>1.5</v>
      </c>
      <c r="F7" s="26">
        <v>8</v>
      </c>
      <c r="G7" s="9">
        <v>5</v>
      </c>
      <c r="H7" s="27">
        <v>1</v>
      </c>
      <c r="I7" s="27">
        <v>24</v>
      </c>
      <c r="J7" s="28">
        <f t="shared" si="1"/>
        <v>0.4</v>
      </c>
      <c r="K7" s="27"/>
      <c r="L7" s="11" t="s">
        <v>25</v>
      </c>
      <c r="M7" s="23">
        <f t="shared" ref="M7:R7" si="8">SUM(B7)</f>
        <v>10</v>
      </c>
      <c r="N7" s="29">
        <f t="shared" si="8"/>
        <v>10</v>
      </c>
      <c r="O7" s="4">
        <f t="shared" si="8"/>
        <v>12</v>
      </c>
      <c r="P7" s="30">
        <f t="shared" si="8"/>
        <v>1.5</v>
      </c>
      <c r="Q7" s="31">
        <f t="shared" si="8"/>
        <v>8</v>
      </c>
      <c r="R7" s="9">
        <f t="shared" si="8"/>
        <v>5</v>
      </c>
      <c r="S7" s="32">
        <f>SUM(I7)</f>
        <v>24</v>
      </c>
      <c r="T7" s="28">
        <f t="shared" si="3"/>
        <v>0.4</v>
      </c>
      <c r="U7" s="28">
        <f t="shared" si="4"/>
        <v>25</v>
      </c>
    </row>
    <row r="8" spans="1:21">
      <c r="A8" s="11" t="s">
        <v>26</v>
      </c>
      <c r="B8" s="23">
        <v>12</v>
      </c>
      <c r="C8" s="24">
        <v>12</v>
      </c>
      <c r="D8" s="4">
        <v>25</v>
      </c>
      <c r="E8" s="25">
        <v>2</v>
      </c>
      <c r="F8" s="26">
        <v>10</v>
      </c>
      <c r="G8" s="9">
        <v>8</v>
      </c>
      <c r="H8" s="27">
        <v>1</v>
      </c>
      <c r="I8" s="27">
        <v>34</v>
      </c>
      <c r="J8" s="28">
        <f t="shared" si="1"/>
        <v>0.566666666666667</v>
      </c>
      <c r="K8" s="27"/>
      <c r="L8" s="11" t="s">
        <v>26</v>
      </c>
      <c r="M8" s="23">
        <f>SUM(M7,B8)</f>
        <v>22</v>
      </c>
      <c r="N8" s="29">
        <f>SUM(N7,C8)</f>
        <v>22</v>
      </c>
      <c r="O8" s="4">
        <f>SUM(O7,D8)</f>
        <v>37</v>
      </c>
      <c r="P8" s="30">
        <f>SUM(P7,E8)</f>
        <v>3.5</v>
      </c>
      <c r="Q8" s="31">
        <f>SUM(Q7,F8)</f>
        <v>18</v>
      </c>
      <c r="R8" s="9">
        <f>SUM(G8,R7)</f>
        <v>13</v>
      </c>
      <c r="S8" s="32">
        <f>SUM(I7:I8)</f>
        <v>58</v>
      </c>
      <c r="T8" s="28">
        <f t="shared" si="3"/>
        <v>0.966666666666667</v>
      </c>
      <c r="U8" s="28">
        <f t="shared" si="4"/>
        <v>22.7586206896552</v>
      </c>
    </row>
    <row r="9" spans="1:21">
      <c r="A9" s="11" t="s">
        <v>27</v>
      </c>
      <c r="B9" s="23">
        <v>24</v>
      </c>
      <c r="C9" s="24">
        <v>24</v>
      </c>
      <c r="D9" s="4">
        <v>37</v>
      </c>
      <c r="E9" s="25">
        <v>2.5</v>
      </c>
      <c r="F9" s="26">
        <v>12</v>
      </c>
      <c r="G9" s="9">
        <v>12</v>
      </c>
      <c r="H9" s="27">
        <v>1</v>
      </c>
      <c r="I9" s="27">
        <v>32</v>
      </c>
      <c r="J9" s="28">
        <f t="shared" si="1"/>
        <v>0.533333333333333</v>
      </c>
      <c r="K9" s="27"/>
      <c r="L9" s="11" t="s">
        <v>27</v>
      </c>
      <c r="M9" s="23">
        <f>SUM(M8,B9)</f>
        <v>46</v>
      </c>
      <c r="N9" s="29">
        <f>SUM(N8,C9)</f>
        <v>46</v>
      </c>
      <c r="O9" s="4">
        <f>SUM(O8,D9)</f>
        <v>74</v>
      </c>
      <c r="P9" s="30">
        <f>SUM(P8,E9)</f>
        <v>6</v>
      </c>
      <c r="Q9" s="31">
        <f>SUM(Q8,F9)</f>
        <v>30</v>
      </c>
      <c r="R9" s="9">
        <f>SUM(G9,R8)</f>
        <v>25</v>
      </c>
      <c r="S9" s="32">
        <f>SUM(I7:I9)</f>
        <v>90</v>
      </c>
      <c r="T9" s="28">
        <f t="shared" si="3"/>
        <v>1.5</v>
      </c>
      <c r="U9" s="28">
        <f t="shared" si="4"/>
        <v>30.6666666666667</v>
      </c>
    </row>
    <row r="10" spans="1:21">
      <c r="A10" s="11" t="s">
        <v>28</v>
      </c>
      <c r="B10" s="23">
        <v>30</v>
      </c>
      <c r="C10" s="24">
        <v>14</v>
      </c>
      <c r="D10" s="4">
        <v>57</v>
      </c>
      <c r="E10" s="25">
        <v>3</v>
      </c>
      <c r="F10" s="26">
        <v>20</v>
      </c>
      <c r="G10" s="9">
        <v>13</v>
      </c>
      <c r="H10" s="27">
        <v>1</v>
      </c>
      <c r="I10" s="27">
        <v>31</v>
      </c>
      <c r="J10" s="28">
        <f t="shared" si="1"/>
        <v>0.516666666666667</v>
      </c>
      <c r="K10" s="27"/>
      <c r="L10" s="11" t="s">
        <v>28</v>
      </c>
      <c r="M10" s="23">
        <f>SUM(M9,B10)</f>
        <v>76</v>
      </c>
      <c r="N10" s="29">
        <f>SUM(N9,C10)</f>
        <v>60</v>
      </c>
      <c r="O10" s="4">
        <f>SUM(O9,D10)</f>
        <v>131</v>
      </c>
      <c r="P10" s="30">
        <f>SUM(P9,E10)</f>
        <v>9</v>
      </c>
      <c r="Q10" s="31">
        <f>SUM(Q9,F10)</f>
        <v>50</v>
      </c>
      <c r="R10" s="9">
        <f>SUM(G10,R9)</f>
        <v>38</v>
      </c>
      <c r="S10" s="32">
        <f>SUM(I7:I10)</f>
        <v>121</v>
      </c>
      <c r="T10" s="28">
        <f t="shared" si="3"/>
        <v>2.01666666666667</v>
      </c>
      <c r="U10" s="28">
        <f t="shared" si="4"/>
        <v>37.6859504132231</v>
      </c>
    </row>
    <row r="11" spans="1:21">
      <c r="A11" s="11" t="s">
        <v>29</v>
      </c>
      <c r="B11" s="23">
        <v>100</v>
      </c>
      <c r="C11" s="24">
        <v>30</v>
      </c>
      <c r="D11" s="4">
        <v>200</v>
      </c>
      <c r="E11" s="25">
        <v>2.5</v>
      </c>
      <c r="F11" s="26">
        <v>50</v>
      </c>
      <c r="G11" s="9">
        <v>190</v>
      </c>
      <c r="H11" s="27">
        <v>2</v>
      </c>
      <c r="I11" s="27">
        <v>32</v>
      </c>
      <c r="J11" s="28">
        <f t="shared" si="1"/>
        <v>0.533333333333333</v>
      </c>
      <c r="K11" s="27"/>
      <c r="L11" s="33" t="s">
        <v>30</v>
      </c>
      <c r="M11" s="34">
        <f>SUM(M10,B11)</f>
        <v>176</v>
      </c>
      <c r="N11" s="35">
        <f>SUM(N10,C11)</f>
        <v>90</v>
      </c>
      <c r="O11" s="34">
        <f>SUM(O10,D11)</f>
        <v>331</v>
      </c>
      <c r="P11" s="36">
        <f>SUM(P10,E11)</f>
        <v>11.5</v>
      </c>
      <c r="Q11" s="35">
        <f>SUM(Q10,F11)</f>
        <v>100</v>
      </c>
      <c r="R11" s="34">
        <f>SUM(G11,R10)</f>
        <v>228</v>
      </c>
      <c r="S11" s="36">
        <f>SUM(I7:I11)</f>
        <v>153</v>
      </c>
      <c r="T11" s="37">
        <f t="shared" si="3"/>
        <v>2.55</v>
      </c>
      <c r="U11" s="37">
        <f t="shared" si="4"/>
        <v>69.0196078431373</v>
      </c>
    </row>
    <row r="12" spans="1:21">
      <c r="A12" s="11" t="s">
        <v>31</v>
      </c>
      <c r="B12" s="23">
        <v>19</v>
      </c>
      <c r="C12" s="24">
        <v>50</v>
      </c>
      <c r="D12" s="4">
        <v>70</v>
      </c>
      <c r="E12" s="25">
        <v>2</v>
      </c>
      <c r="F12" s="26">
        <v>30</v>
      </c>
      <c r="G12" s="9">
        <v>20</v>
      </c>
      <c r="H12" s="27">
        <v>1</v>
      </c>
      <c r="I12" s="27">
        <v>44</v>
      </c>
      <c r="J12" s="28">
        <f t="shared" si="1"/>
        <v>0.733333333333333</v>
      </c>
      <c r="K12" s="27"/>
      <c r="L12" s="11" t="s">
        <v>31</v>
      </c>
      <c r="M12" s="23">
        <f t="shared" ref="M12:R12" si="9">SUM(M9,B12)</f>
        <v>65</v>
      </c>
      <c r="N12" s="29">
        <f t="shared" si="9"/>
        <v>96</v>
      </c>
      <c r="O12" s="4">
        <f t="shared" si="9"/>
        <v>144</v>
      </c>
      <c r="P12" s="30">
        <f t="shared" si="9"/>
        <v>8</v>
      </c>
      <c r="Q12" s="31">
        <f t="shared" si="9"/>
        <v>60</v>
      </c>
      <c r="R12" s="9">
        <f t="shared" si="9"/>
        <v>45</v>
      </c>
      <c r="S12" s="32">
        <f>SUM(I7,I8,I9,I12)</f>
        <v>134</v>
      </c>
      <c r="T12" s="28">
        <f t="shared" si="3"/>
        <v>2.23333333333333</v>
      </c>
      <c r="U12" s="28">
        <f t="shared" si="4"/>
        <v>29.1044776119403</v>
      </c>
    </row>
    <row r="13" spans="1:21">
      <c r="A13" s="11" t="s">
        <v>32</v>
      </c>
      <c r="B13" s="23">
        <v>27</v>
      </c>
      <c r="C13" s="24">
        <v>70</v>
      </c>
      <c r="D13" s="4">
        <v>70</v>
      </c>
      <c r="E13" s="25">
        <v>2.25</v>
      </c>
      <c r="F13" s="26">
        <v>40</v>
      </c>
      <c r="G13" s="9">
        <v>22</v>
      </c>
      <c r="H13" s="27">
        <v>1</v>
      </c>
      <c r="I13" s="27">
        <v>36</v>
      </c>
      <c r="J13" s="28">
        <f t="shared" si="1"/>
        <v>0.6</v>
      </c>
      <c r="K13" s="27"/>
      <c r="L13" s="33" t="s">
        <v>33</v>
      </c>
      <c r="M13" s="34">
        <f t="shared" ref="M13:R13" si="10">SUM(M12,B13)</f>
        <v>92</v>
      </c>
      <c r="N13" s="35">
        <f t="shared" si="10"/>
        <v>166</v>
      </c>
      <c r="O13" s="34">
        <f t="shared" si="10"/>
        <v>214</v>
      </c>
      <c r="P13" s="36">
        <f t="shared" si="10"/>
        <v>10.25</v>
      </c>
      <c r="Q13" s="35">
        <f t="shared" si="10"/>
        <v>100</v>
      </c>
      <c r="R13" s="34">
        <f t="shared" si="10"/>
        <v>67</v>
      </c>
      <c r="S13" s="36">
        <f>SUM(S12,I13)</f>
        <v>170</v>
      </c>
      <c r="T13" s="37">
        <f t="shared" si="3"/>
        <v>2.83333333333333</v>
      </c>
      <c r="U13" s="37">
        <f t="shared" si="4"/>
        <v>32.4705882352942</v>
      </c>
    </row>
    <row r="14" spans="1:21">
      <c r="A14" s="11" t="s">
        <v>34</v>
      </c>
      <c r="B14" s="23">
        <v>35</v>
      </c>
      <c r="C14" s="24">
        <v>0</v>
      </c>
      <c r="D14" s="4">
        <v>233</v>
      </c>
      <c r="E14" s="25">
        <v>0</v>
      </c>
      <c r="F14" s="26">
        <v>0</v>
      </c>
      <c r="G14" s="9">
        <v>280</v>
      </c>
      <c r="H14" s="27">
        <v>1</v>
      </c>
      <c r="I14" s="27">
        <v>63</v>
      </c>
      <c r="J14" s="28">
        <f t="shared" si="1"/>
        <v>1.05</v>
      </c>
      <c r="K14" s="27"/>
      <c r="L14" s="11" t="s">
        <v>34</v>
      </c>
      <c r="M14" s="23">
        <f t="shared" ref="M14:R14" si="11">SUM(B14)</f>
        <v>35</v>
      </c>
      <c r="N14" s="29">
        <f t="shared" si="11"/>
        <v>0</v>
      </c>
      <c r="O14" s="4">
        <f t="shared" si="11"/>
        <v>233</v>
      </c>
      <c r="P14" s="30">
        <f t="shared" si="11"/>
        <v>0</v>
      </c>
      <c r="Q14" s="31">
        <f t="shared" si="11"/>
        <v>0</v>
      </c>
      <c r="R14" s="9">
        <f t="shared" si="11"/>
        <v>280</v>
      </c>
      <c r="S14" s="32">
        <f>SUM(I14)</f>
        <v>63</v>
      </c>
      <c r="T14" s="28">
        <f t="shared" ref="T14:T20" si="12">SUM(J14)</f>
        <v>1.05</v>
      </c>
      <c r="U14" s="28">
        <f t="shared" ref="U14:U21" si="13">M14/T14</f>
        <v>33.3333333333333</v>
      </c>
    </row>
    <row r="15" spans="1:21">
      <c r="A15" s="11" t="s">
        <v>35</v>
      </c>
      <c r="B15" s="23">
        <v>40</v>
      </c>
      <c r="C15" s="24">
        <v>40</v>
      </c>
      <c r="D15" s="4">
        <v>233</v>
      </c>
      <c r="E15" s="25">
        <v>0</v>
      </c>
      <c r="F15" s="26">
        <v>20</v>
      </c>
      <c r="G15" s="9">
        <v>280</v>
      </c>
      <c r="H15" s="27">
        <v>1</v>
      </c>
      <c r="I15" s="27">
        <v>35</v>
      </c>
      <c r="J15" s="28">
        <f t="shared" ref="J15:J20" si="14">I15*1/60</f>
        <v>0.583333333333333</v>
      </c>
      <c r="K15" s="27"/>
      <c r="L15" s="11" t="s">
        <v>35</v>
      </c>
      <c r="M15" s="23">
        <f t="shared" ref="M15:R15" si="15">SUM(B15)</f>
        <v>40</v>
      </c>
      <c r="N15" s="29">
        <f t="shared" si="15"/>
        <v>40</v>
      </c>
      <c r="O15" s="4">
        <f t="shared" si="15"/>
        <v>233</v>
      </c>
      <c r="P15" s="30">
        <f t="shared" si="15"/>
        <v>0</v>
      </c>
      <c r="Q15" s="31">
        <f t="shared" si="15"/>
        <v>20</v>
      </c>
      <c r="R15" s="9">
        <f t="shared" si="15"/>
        <v>280</v>
      </c>
      <c r="S15" s="32">
        <f t="shared" ref="S15:S20" si="16">SUM(I15)</f>
        <v>35</v>
      </c>
      <c r="T15" s="28">
        <f t="shared" si="12"/>
        <v>0.583333333333333</v>
      </c>
      <c r="U15" s="28">
        <f t="shared" si="13"/>
        <v>68.5714285714286</v>
      </c>
    </row>
    <row r="16" spans="1:21">
      <c r="A16" s="11" t="s">
        <v>36</v>
      </c>
      <c r="B16" s="23">
        <v>25</v>
      </c>
      <c r="C16" s="24">
        <v>0</v>
      </c>
      <c r="D16" s="4">
        <v>80</v>
      </c>
      <c r="E16" s="25">
        <v>10</v>
      </c>
      <c r="F16" s="26">
        <v>0</v>
      </c>
      <c r="G16" s="9">
        <v>36</v>
      </c>
      <c r="H16" s="27">
        <v>1</v>
      </c>
      <c r="I16" s="27">
        <v>33</v>
      </c>
      <c r="J16" s="28">
        <f t="shared" si="14"/>
        <v>0.55</v>
      </c>
      <c r="K16" s="27"/>
      <c r="L16" s="11" t="s">
        <v>36</v>
      </c>
      <c r="M16" s="23">
        <f>SUM(B16)</f>
        <v>25</v>
      </c>
      <c r="N16" s="29">
        <f>SUM(C16)</f>
        <v>0</v>
      </c>
      <c r="O16" s="4">
        <f>SUM(D16)</f>
        <v>80</v>
      </c>
      <c r="P16" s="30">
        <f>SUM(E16)</f>
        <v>10</v>
      </c>
      <c r="Q16" s="31">
        <f>SUM(E16)</f>
        <v>10</v>
      </c>
      <c r="R16" s="9">
        <f>SUM(G16)</f>
        <v>36</v>
      </c>
      <c r="S16" s="32">
        <f t="shared" si="16"/>
        <v>33</v>
      </c>
      <c r="T16" s="28">
        <f t="shared" si="12"/>
        <v>0.55</v>
      </c>
      <c r="U16" s="28">
        <f t="shared" si="13"/>
        <v>45.4545454545455</v>
      </c>
    </row>
    <row r="17" spans="1:21">
      <c r="A17" s="11" t="s">
        <v>37</v>
      </c>
      <c r="B17" s="23">
        <v>25</v>
      </c>
      <c r="C17" s="24">
        <v>20</v>
      </c>
      <c r="D17" s="4">
        <v>80</v>
      </c>
      <c r="E17" s="25">
        <v>10</v>
      </c>
      <c r="F17" s="26">
        <v>10</v>
      </c>
      <c r="G17" s="9">
        <v>36</v>
      </c>
      <c r="H17" s="27">
        <v>1</v>
      </c>
      <c r="I17" s="27">
        <v>31</v>
      </c>
      <c r="J17" s="28">
        <f t="shared" si="14"/>
        <v>0.516666666666667</v>
      </c>
      <c r="K17" s="27"/>
      <c r="L17" s="11" t="s">
        <v>37</v>
      </c>
      <c r="M17" s="23">
        <f>SUM(B17)</f>
        <v>25</v>
      </c>
      <c r="N17" s="29">
        <f>SUM(C17)</f>
        <v>20</v>
      </c>
      <c r="O17" s="4">
        <f>SUM(D17)</f>
        <v>80</v>
      </c>
      <c r="P17" s="30">
        <f>SUM(E17)</f>
        <v>10</v>
      </c>
      <c r="Q17" s="31">
        <f>SUM(E17)</f>
        <v>10</v>
      </c>
      <c r="R17" s="9">
        <f>SUM(G17)</f>
        <v>36</v>
      </c>
      <c r="S17" s="32">
        <f t="shared" si="16"/>
        <v>31</v>
      </c>
      <c r="T17" s="28">
        <f t="shared" si="12"/>
        <v>0.516666666666667</v>
      </c>
      <c r="U17" s="28">
        <f t="shared" si="13"/>
        <v>48.3870967741935</v>
      </c>
    </row>
    <row r="18" spans="1:21">
      <c r="A18" s="11" t="s">
        <v>38</v>
      </c>
      <c r="B18" s="23">
        <v>30</v>
      </c>
      <c r="C18" s="24">
        <v>30</v>
      </c>
      <c r="D18" s="4">
        <v>50</v>
      </c>
      <c r="E18" s="25">
        <v>0</v>
      </c>
      <c r="F18" s="26">
        <v>0</v>
      </c>
      <c r="G18" s="9">
        <v>125</v>
      </c>
      <c r="H18" s="27">
        <v>1</v>
      </c>
      <c r="I18" s="27">
        <v>33</v>
      </c>
      <c r="J18" s="28">
        <f t="shared" si="14"/>
        <v>0.55</v>
      </c>
      <c r="K18" s="27"/>
      <c r="L18" s="11" t="s">
        <v>38</v>
      </c>
      <c r="M18" s="23">
        <f>SUM(B18)</f>
        <v>30</v>
      </c>
      <c r="N18" s="29">
        <f>SUM(C18)</f>
        <v>30</v>
      </c>
      <c r="O18" s="4">
        <f>SUM(D18)</f>
        <v>50</v>
      </c>
      <c r="P18" s="30">
        <f>SUM(E18)</f>
        <v>0</v>
      </c>
      <c r="Q18" s="31">
        <f>SUM(E18)</f>
        <v>0</v>
      </c>
      <c r="R18" s="9">
        <f>SUM(G18)</f>
        <v>125</v>
      </c>
      <c r="S18" s="32">
        <f t="shared" si="16"/>
        <v>33</v>
      </c>
      <c r="T18" s="28">
        <f t="shared" si="12"/>
        <v>0.55</v>
      </c>
      <c r="U18" s="28">
        <f t="shared" si="13"/>
        <v>54.5454545454545</v>
      </c>
    </row>
    <row r="19" spans="1:21">
      <c r="A19" s="11" t="s">
        <v>39</v>
      </c>
      <c r="B19" s="23">
        <v>100</v>
      </c>
      <c r="C19" s="24">
        <v>50</v>
      </c>
      <c r="D19" s="4">
        <v>200</v>
      </c>
      <c r="E19" s="25">
        <v>0</v>
      </c>
      <c r="F19" s="26">
        <v>0</v>
      </c>
      <c r="G19" s="9">
        <v>200</v>
      </c>
      <c r="H19" s="27">
        <v>4</v>
      </c>
      <c r="I19" s="27">
        <v>111</v>
      </c>
      <c r="J19" s="28">
        <f t="shared" si="14"/>
        <v>1.85</v>
      </c>
      <c r="K19" s="27"/>
      <c r="L19" s="33" t="s">
        <v>40</v>
      </c>
      <c r="M19" s="34">
        <f>SUM(B19)</f>
        <v>100</v>
      </c>
      <c r="N19" s="35">
        <f>SUM(C19)</f>
        <v>50</v>
      </c>
      <c r="O19" s="34">
        <f>SUM(D19)</f>
        <v>200</v>
      </c>
      <c r="P19" s="36">
        <f>SUM(E19)</f>
        <v>0</v>
      </c>
      <c r="Q19" s="35">
        <f>SUM(E19)</f>
        <v>0</v>
      </c>
      <c r="R19" s="34">
        <f>SUM(G19)</f>
        <v>200</v>
      </c>
      <c r="S19" s="36">
        <f t="shared" si="16"/>
        <v>111</v>
      </c>
      <c r="T19" s="37">
        <f t="shared" si="12"/>
        <v>1.85</v>
      </c>
      <c r="U19" s="37">
        <f t="shared" si="13"/>
        <v>54.054054054054</v>
      </c>
    </row>
    <row r="20" spans="1:21">
      <c r="A20" s="11" t="s">
        <v>41</v>
      </c>
      <c r="B20" s="23">
        <v>200</v>
      </c>
      <c r="C20" s="24">
        <v>60</v>
      </c>
      <c r="D20" s="4">
        <v>290</v>
      </c>
      <c r="E20" s="25">
        <v>0</v>
      </c>
      <c r="F20" s="26">
        <v>0</v>
      </c>
      <c r="G20" s="9">
        <v>200</v>
      </c>
      <c r="H20" s="27">
        <v>4</v>
      </c>
      <c r="I20" s="27">
        <v>111</v>
      </c>
      <c r="J20" s="28">
        <f t="shared" si="14"/>
        <v>1.85</v>
      </c>
      <c r="K20" s="27"/>
      <c r="L20" s="33" t="s">
        <v>42</v>
      </c>
      <c r="M20" s="34">
        <f>SUM(B20)</f>
        <v>200</v>
      </c>
      <c r="N20" s="35">
        <f>SUM(C20)</f>
        <v>60</v>
      </c>
      <c r="O20" s="34">
        <f>SUM(D20)</f>
        <v>290</v>
      </c>
      <c r="P20" s="36">
        <f>SUM(E20)</f>
        <v>0</v>
      </c>
      <c r="Q20" s="35">
        <f>SUM(E20)</f>
        <v>0</v>
      </c>
      <c r="R20" s="34">
        <f>SUM(G20)</f>
        <v>200</v>
      </c>
      <c r="S20" s="36">
        <f t="shared" si="16"/>
        <v>111</v>
      </c>
      <c r="T20" s="37">
        <f t="shared" si="12"/>
        <v>1.85</v>
      </c>
      <c r="U20" s="37">
        <f t="shared" si="13"/>
        <v>108.108108108108</v>
      </c>
    </row>
    <row r="21" spans="1:21">
      <c r="A21" s="11" t="s">
        <v>43</v>
      </c>
      <c r="B21" s="23">
        <v>300</v>
      </c>
      <c r="C21" s="24"/>
      <c r="D21" s="4">
        <v>200</v>
      </c>
      <c r="E21" s="25"/>
      <c r="F21" s="26"/>
      <c r="G21" s="9"/>
      <c r="H21" s="27"/>
      <c r="I21" s="27"/>
      <c r="J21" s="27"/>
      <c r="K21" s="27"/>
      <c r="L21" s="33" t="s">
        <v>44</v>
      </c>
      <c r="M21" s="34">
        <f>SUM(B15,B11)</f>
        <v>140</v>
      </c>
      <c r="N21" s="35">
        <f>SUM(C11,C15)</f>
        <v>70</v>
      </c>
      <c r="O21" s="34">
        <f>SUM(D15,D11)</f>
        <v>433</v>
      </c>
      <c r="P21" s="36">
        <f>SUM(E11,E15)</f>
        <v>2.5</v>
      </c>
      <c r="Q21" s="35">
        <f>SUM(F11,F15)</f>
        <v>70</v>
      </c>
      <c r="R21" s="34">
        <f>SUM(G15,G11)</f>
        <v>470</v>
      </c>
      <c r="S21" s="36">
        <f>SUM(I15,I11)</f>
        <v>67</v>
      </c>
      <c r="T21" s="37">
        <f>SUM(J15,J11)</f>
        <v>1.11666666666667</v>
      </c>
      <c r="U21" s="37">
        <f t="shared" si="13"/>
        <v>125.373134328358</v>
      </c>
    </row>
    <row r="22" spans="1:21">
      <c r="D22" s="38"/>
      <c r="L22" s="11"/>
      <c r="M22" s="12"/>
      <c r="N22" s="18"/>
      <c r="P22" s="19"/>
      <c r="Q22" s="20"/>
      <c r="R22" s="17"/>
      <c r="S22" s="21"/>
      <c r="T22" s="22"/>
      <c r="U22" s="22"/>
    </row>
    <row r="23" spans="1:21">
      <c r="L23" s="11" t="s">
        <v>45</v>
      </c>
      <c r="M23" s="12" t="s">
        <v>11</v>
      </c>
      <c r="N23" s="18" t="s">
        <v>12</v>
      </c>
      <c r="O23" s="4" t="s">
        <v>13</v>
      </c>
      <c r="P23" s="19" t="s">
        <v>14</v>
      </c>
      <c r="Q23" s="20" t="s">
        <v>15</v>
      </c>
      <c r="R23" s="17" t="s">
        <v>16</v>
      </c>
      <c r="S23" s="21" t="s">
        <v>17</v>
      </c>
      <c r="T23" s="22" t="s">
        <v>18</v>
      </c>
      <c r="U23" s="22" t="s">
        <v>19</v>
      </c>
    </row>
    <row r="24" spans="1:21">
      <c r="L24" s="11" t="s">
        <v>46</v>
      </c>
      <c r="M24" s="23">
        <f>M20*2+M18*2+M11+M13</f>
        <v>728</v>
      </c>
      <c r="N24" s="29">
        <f>N20*2+N18*2+N11+N13</f>
        <v>436</v>
      </c>
      <c r="O24" s="4">
        <f>O20*2+O18*2+O11+O13</f>
        <v>1225</v>
      </c>
      <c r="P24" s="30">
        <f>P20*2+P18*2+P11+P13-160+T24*1.2</f>
        <v>-126.03</v>
      </c>
      <c r="Q24" s="31">
        <f>Q20*2+Q18*2+Q11+Q13</f>
        <v>200</v>
      </c>
      <c r="R24" s="9">
        <f>R20*2+R18*2+R11+R13</f>
        <v>945</v>
      </c>
      <c r="S24" s="32">
        <f>S20*2+S18*2+S11+S13</f>
        <v>611</v>
      </c>
      <c r="T24" s="39">
        <f t="shared" ref="T23:T33" si="17">S24/60</f>
        <v>10.1833333333333</v>
      </c>
      <c r="U24" s="39">
        <f t="shared" ref="U23:U33" si="18">M24/T24</f>
        <v>71.4893617021277</v>
      </c>
    </row>
    <row r="25" spans="1:21">
      <c r="L25" s="11" t="s">
        <v>47</v>
      </c>
      <c r="M25" s="23">
        <f>M20*2+M18+M13</f>
        <v>522</v>
      </c>
      <c r="N25" s="29">
        <f t="shared" ref="N25:S25" si="19">N20*2+N18+N13</f>
        <v>316</v>
      </c>
      <c r="O25" s="4">
        <f t="shared" si="19"/>
        <v>844</v>
      </c>
      <c r="P25" s="30">
        <f>P20*2+P18+P13-120+1.2*T25</f>
        <v>-101.25</v>
      </c>
      <c r="Q25" s="31">
        <f t="shared" si="19"/>
        <v>100</v>
      </c>
      <c r="R25" s="9">
        <f t="shared" si="19"/>
        <v>592</v>
      </c>
      <c r="S25" s="32">
        <f t="shared" si="19"/>
        <v>425</v>
      </c>
      <c r="T25" s="39">
        <f t="shared" si="17"/>
        <v>7.08333333333333</v>
      </c>
      <c r="U25" s="39">
        <f t="shared" si="18"/>
        <v>73.6941176470588</v>
      </c>
    </row>
    <row r="26" spans="1:21">
      <c r="L26" s="11" t="s">
        <v>48</v>
      </c>
      <c r="M26" s="23">
        <f t="shared" ref="M26:O26" si="20">SUM(M11,M18)</f>
        <v>206</v>
      </c>
      <c r="N26" s="29">
        <f t="shared" si="20"/>
        <v>120</v>
      </c>
      <c r="O26" s="4">
        <f t="shared" si="20"/>
        <v>381</v>
      </c>
      <c r="P26" s="30">
        <f>P11-40+T26*1.2</f>
        <v>-24.78</v>
      </c>
      <c r="Q26" s="31">
        <v>100</v>
      </c>
      <c r="R26" s="9">
        <f>SUM(R11,R18)</f>
        <v>353</v>
      </c>
      <c r="S26" s="32">
        <f>SUM(S11,S18)</f>
        <v>186</v>
      </c>
      <c r="T26" s="39">
        <f t="shared" si="17"/>
        <v>3.1</v>
      </c>
      <c r="U26" s="39">
        <f t="shared" si="18"/>
        <v>66.4516129032258</v>
      </c>
    </row>
    <row r="27" spans="1:21">
      <c r="L27" s="11" t="s">
        <v>49</v>
      </c>
      <c r="M27" s="23">
        <f>SUM(M11,M18,M13)</f>
        <v>298</v>
      </c>
      <c r="N27" s="29">
        <f>SUM(N11,N13,N18)</f>
        <v>286</v>
      </c>
      <c r="O27" s="4">
        <f>SUM(O11,O13,O18)</f>
        <v>595</v>
      </c>
      <c r="P27" s="30">
        <f>SUM(P11,P13,P18)-40+T27*1.2</f>
        <v>-11.13</v>
      </c>
      <c r="Q27" s="31">
        <f>SUM(Q11,Q13,Q18)</f>
        <v>200</v>
      </c>
      <c r="R27" s="9">
        <f>SUM(R11,R13,R18)</f>
        <v>420</v>
      </c>
      <c r="S27" s="32">
        <f>SUM(S11,S13,S18)</f>
        <v>356</v>
      </c>
      <c r="T27" s="39">
        <f t="shared" si="17"/>
        <v>5.93333333333333</v>
      </c>
      <c r="U27" s="39">
        <f t="shared" si="18"/>
        <v>50.2247191011236</v>
      </c>
    </row>
    <row r="28" spans="1:21">
      <c r="L28" s="11" t="s">
        <v>50</v>
      </c>
      <c r="M28" s="23">
        <f t="shared" ref="M28:S28" si="21">SUM(M11,M13)</f>
        <v>268</v>
      </c>
      <c r="N28" s="29">
        <f t="shared" si="21"/>
        <v>256</v>
      </c>
      <c r="O28" s="4">
        <f t="shared" si="21"/>
        <v>545</v>
      </c>
      <c r="P28" s="30">
        <f>SUM(P11,P13)+T28*1.2</f>
        <v>28.21</v>
      </c>
      <c r="Q28" s="31">
        <f t="shared" si="21"/>
        <v>200</v>
      </c>
      <c r="R28" s="9">
        <f t="shared" si="21"/>
        <v>295</v>
      </c>
      <c r="S28" s="32">
        <f t="shared" si="21"/>
        <v>323</v>
      </c>
      <c r="T28" s="39">
        <f t="shared" si="17"/>
        <v>5.38333333333333</v>
      </c>
      <c r="U28" s="39">
        <f t="shared" si="18"/>
        <v>49.7832817337461</v>
      </c>
    </row>
    <row r="29" spans="1:21">
      <c r="L29" s="11"/>
      <c r="M29" s="23"/>
      <c r="N29" s="40"/>
      <c r="P29" s="30"/>
      <c r="Q29" s="31"/>
      <c r="S29" s="32"/>
      <c r="T29" s="39">
        <f t="shared" si="17"/>
        <v>0</v>
      </c>
      <c r="U29" s="39" t="e">
        <f t="shared" si="18"/>
        <v>#DIV/0!</v>
      </c>
    </row>
    <row r="30" spans="1:21">
      <c r="L30" s="11"/>
      <c r="M30" s="23"/>
      <c r="N30" s="40"/>
      <c r="P30" s="30"/>
      <c r="Q30" s="31"/>
      <c r="S30" s="32"/>
      <c r="T30" s="39">
        <f t="shared" si="17"/>
        <v>0</v>
      </c>
      <c r="U30" s="39" t="e">
        <f t="shared" si="18"/>
        <v>#DIV/0!</v>
      </c>
    </row>
    <row r="31" spans="1:21">
      <c r="L31" s="11"/>
      <c r="M31" s="23"/>
      <c r="N31" s="40"/>
      <c r="P31" s="25"/>
      <c r="Q31" s="31"/>
      <c r="S31" s="32"/>
      <c r="T31" s="39">
        <f t="shared" si="17"/>
        <v>0</v>
      </c>
      <c r="U31" s="39" t="e">
        <f t="shared" si="18"/>
        <v>#DIV/0!</v>
      </c>
    </row>
    <row r="32" spans="1:21">
      <c r="L32" s="11"/>
      <c r="M32" s="23"/>
      <c r="N32" s="40"/>
      <c r="P32" s="25"/>
      <c r="Q32" s="31"/>
      <c r="S32" s="32"/>
      <c r="T32" s="39">
        <f t="shared" si="17"/>
        <v>0</v>
      </c>
      <c r="U32" s="39" t="e">
        <f t="shared" si="18"/>
        <v>#DIV/0!</v>
      </c>
    </row>
    <row r="33" spans="12:21">
      <c r="L33" s="11"/>
      <c r="M33" s="23"/>
      <c r="N33" s="40"/>
      <c r="P33" s="25"/>
      <c r="Q33" s="31"/>
      <c r="S33" s="32"/>
      <c r="T33" s="39">
        <f t="shared" si="17"/>
        <v>0</v>
      </c>
      <c r="U33" s="39" t="e">
        <f t="shared" si="18"/>
        <v>#DIV/0!</v>
      </c>
    </row>
    <row r="35" spans="12:21">
      <c r="T35" s="32"/>
    </row>
    <row r="36" spans="12:21">
      <c r="O36" s="38"/>
      <c r="Q36" s="31"/>
      <c r="R36" s="41"/>
    </row>
    <row r="37" spans="12:21">
      <c r="Q37" s="3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监狱</cp:lastModifiedBy>
  <dcterms:created xsi:type="dcterms:W3CDTF">2023-05-12T11:15:00Z</dcterms:created>
  <dcterms:modified xsi:type="dcterms:W3CDTF">2026-04-08T05:40:27Z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E89FFF92954B4F129EB56FB7ADB717EB_12</vt:lpwstr>
  </property>
  <property fmtid="{D5CDD505-2E9C-101B-9397-08002B2CF9AE}" pid="4" name="CalculationRule">
    <vt:i4>0</vt:i4>
  </property>
</Properties>
</file>